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ersonal\Organ\Organ-Design\"/>
    </mc:Choice>
  </mc:AlternateContent>
  <xr:revisionPtr revIDLastSave="0" documentId="13_ncr:1_{9803B394-0CC5-4FF6-8D7B-1777DEA9AACC}" xr6:coauthVersionLast="47" xr6:coauthVersionMax="47" xr10:uidLastSave="{00000000-0000-0000-0000-000000000000}"/>
  <bookViews>
    <workbookView xWindow="-25968" yWindow="3240" windowWidth="23040" windowHeight="121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C8" i="1"/>
  <c r="C9" i="1" s="1"/>
  <c r="A31" i="1"/>
  <c r="A19" i="1"/>
  <c r="K6" i="1"/>
  <c r="L6" i="1" s="1"/>
  <c r="M6" i="1" s="1"/>
  <c r="B3" i="1"/>
  <c r="C10" i="1" l="1"/>
  <c r="D9" i="1"/>
  <c r="C11" i="1" l="1"/>
  <c r="D10" i="1"/>
  <c r="C12" i="1" l="1"/>
  <c r="D11" i="1"/>
  <c r="C13" i="1" l="1"/>
  <c r="D12" i="1"/>
  <c r="C14" i="1" l="1"/>
  <c r="D13" i="1"/>
  <c r="C15" i="1" l="1"/>
  <c r="D14" i="1"/>
  <c r="C16" i="1" l="1"/>
  <c r="D15" i="1"/>
  <c r="C17" i="1" l="1"/>
  <c r="D16" i="1"/>
  <c r="C18" i="1" l="1"/>
  <c r="D17" i="1"/>
  <c r="C19" i="1" l="1"/>
  <c r="D18" i="1"/>
  <c r="C20" i="1" l="1"/>
  <c r="D19" i="1"/>
  <c r="C21" i="1" l="1"/>
  <c r="D20" i="1"/>
  <c r="C22" i="1" l="1"/>
  <c r="D21" i="1"/>
  <c r="C23" i="1" l="1"/>
  <c r="D22" i="1"/>
  <c r="C24" i="1" l="1"/>
  <c r="D23" i="1"/>
  <c r="C25" i="1" l="1"/>
  <c r="D24" i="1"/>
  <c r="C26" i="1" l="1"/>
  <c r="D25" i="1"/>
  <c r="C27" i="1" l="1"/>
  <c r="D26" i="1"/>
  <c r="C28" i="1" l="1"/>
  <c r="D27" i="1"/>
  <c r="C29" i="1" l="1"/>
  <c r="D28" i="1"/>
  <c r="C30" i="1" l="1"/>
  <c r="D29" i="1"/>
  <c r="C31" i="1" l="1"/>
  <c r="D30" i="1"/>
  <c r="C32" i="1" l="1"/>
  <c r="D31" i="1"/>
  <c r="C33" i="1" l="1"/>
  <c r="D32" i="1"/>
  <c r="C34" i="1" l="1"/>
  <c r="D33" i="1"/>
  <c r="C35" i="1" l="1"/>
  <c r="D34" i="1"/>
  <c r="C36" i="1" l="1"/>
  <c r="D35" i="1"/>
  <c r="C37" i="1" l="1"/>
  <c r="D36" i="1"/>
  <c r="C38" i="1" l="1"/>
  <c r="D37" i="1"/>
  <c r="C39" i="1" l="1"/>
  <c r="D38" i="1"/>
  <c r="C40" i="1" l="1"/>
  <c r="D39" i="1"/>
  <c r="C41" i="1" l="1"/>
  <c r="D40" i="1"/>
  <c r="C42" i="1" l="1"/>
  <c r="D42" i="1" s="1"/>
  <c r="D41" i="1"/>
</calcChain>
</file>

<file path=xl/sharedStrings.xml><?xml version="1.0" encoding="utf-8"?>
<sst xmlns="http://schemas.openxmlformats.org/spreadsheetml/2006/main" count="44" uniqueCount="20">
  <si>
    <t>frqenzy  [Hz]</t>
  </si>
  <si>
    <t xml:space="preserve">note: </t>
  </si>
  <si>
    <t>Hz</t>
  </si>
  <si>
    <t xml:space="preserve">Base note: </t>
  </si>
  <si>
    <t>Ovetone nr:</t>
  </si>
  <si>
    <t>A</t>
  </si>
  <si>
    <t>B</t>
  </si>
  <si>
    <t>C</t>
  </si>
  <si>
    <t>D</t>
  </si>
  <si>
    <t>E</t>
  </si>
  <si>
    <t>F</t>
  </si>
  <si>
    <t>G</t>
  </si>
  <si>
    <t>A#</t>
  </si>
  <si>
    <t>C#</t>
  </si>
  <si>
    <t>F#</t>
  </si>
  <si>
    <t>G#</t>
  </si>
  <si>
    <t>D#</t>
  </si>
  <si>
    <t xml:space="preserve">Semitones from base </t>
  </si>
  <si>
    <t>Length (Based on primary)</t>
  </si>
  <si>
    <t xml:space="preserve">Speed of sounds: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</si>
</sst>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2"/>
  <sheetViews>
    <sheetView tabSelected="1" zoomScale="70" zoomScaleNormal="70" workbookViewId="0">
      <selection activeCell="B4" sqref="B4"/>
    </sheetView>
  </sheetViews>
  <sheetFormatPr defaultRowHeight="14.4" x14ac:dyDescent="0.3"/>
  <cols>
    <col min="1" max="1" width="16.6640625" customWidth="1"/>
    <col min="2" max="2" width="11.44140625" customWidth="1"/>
    <col min="3" max="3" width="20.44140625" customWidth="1"/>
    <col min="4" max="4" width="18.44140625" customWidth="1"/>
    <col min="5" max="5" width="13.44140625" customWidth="1"/>
    <col min="6" max="6" width="15.44140625" customWidth="1"/>
    <col min="9" max="9" width="11.5546875" customWidth="1"/>
    <col min="10" max="10" width="11.44140625" customWidth="1"/>
  </cols>
  <sheetData>
    <row r="3" spans="1:13" x14ac:dyDescent="0.3">
      <c r="A3" t="s">
        <v>3</v>
      </c>
      <c r="B3">
        <f>440/2</f>
        <v>220</v>
      </c>
      <c r="C3" t="s">
        <v>2</v>
      </c>
    </row>
    <row r="4" spans="1:13" x14ac:dyDescent="0.3">
      <c r="A4" t="s">
        <v>19</v>
      </c>
    </row>
    <row r="6" spans="1:13" x14ac:dyDescent="0.3">
      <c r="B6" t="s">
        <v>1</v>
      </c>
      <c r="C6" t="s">
        <v>17</v>
      </c>
      <c r="D6" t="s">
        <v>0</v>
      </c>
      <c r="F6" t="s">
        <v>18</v>
      </c>
      <c r="I6" t="s">
        <v>4</v>
      </c>
      <c r="J6">
        <v>1</v>
      </c>
      <c r="K6">
        <f>J6+1</f>
        <v>2</v>
      </c>
      <c r="L6">
        <f>K6+1</f>
        <v>3</v>
      </c>
      <c r="M6">
        <f>L6+1</f>
        <v>4</v>
      </c>
    </row>
    <row r="7" spans="1:13" x14ac:dyDescent="0.3">
      <c r="A7">
        <v>3</v>
      </c>
      <c r="B7" t="s">
        <v>5</v>
      </c>
      <c r="C7">
        <v>0</v>
      </c>
      <c r="D7" s="2">
        <f>B3</f>
        <v>220</v>
      </c>
    </row>
    <row r="8" spans="1:13" x14ac:dyDescent="0.3">
      <c r="B8" t="s">
        <v>12</v>
      </c>
      <c r="C8">
        <f>C7+1</f>
        <v>1</v>
      </c>
      <c r="D8" s="2">
        <f>$D$7*2^(C8/12)</f>
        <v>233.08188075904496</v>
      </c>
    </row>
    <row r="9" spans="1:13" x14ac:dyDescent="0.3">
      <c r="B9" t="s">
        <v>6</v>
      </c>
      <c r="C9">
        <f t="shared" ref="C9:C42" si="0">C8+1</f>
        <v>2</v>
      </c>
      <c r="D9" s="2">
        <f>$D$7*2^(C9/12)</f>
        <v>246.94165062806206</v>
      </c>
    </row>
    <row r="10" spans="1:13" x14ac:dyDescent="0.3">
      <c r="B10" t="s">
        <v>7</v>
      </c>
      <c r="C10">
        <f t="shared" si="0"/>
        <v>3</v>
      </c>
      <c r="D10" s="2">
        <f t="shared" ref="D10:D42" si="1">$D$7*2^(C10/12)</f>
        <v>261.62556530059862</v>
      </c>
    </row>
    <row r="11" spans="1:13" x14ac:dyDescent="0.3">
      <c r="B11" t="s">
        <v>13</v>
      </c>
      <c r="C11">
        <f t="shared" si="0"/>
        <v>4</v>
      </c>
      <c r="D11" s="2">
        <f t="shared" si="1"/>
        <v>277.18263097687208</v>
      </c>
    </row>
    <row r="12" spans="1:13" x14ac:dyDescent="0.3">
      <c r="B12" t="s">
        <v>8</v>
      </c>
      <c r="C12">
        <f t="shared" si="0"/>
        <v>5</v>
      </c>
      <c r="D12" s="2">
        <f t="shared" si="1"/>
        <v>293.66476791740757</v>
      </c>
    </row>
    <row r="13" spans="1:13" x14ac:dyDescent="0.3">
      <c r="B13" t="s">
        <v>16</v>
      </c>
      <c r="C13">
        <f t="shared" si="0"/>
        <v>6</v>
      </c>
      <c r="D13" s="2">
        <f t="shared" si="1"/>
        <v>311.12698372208092</v>
      </c>
    </row>
    <row r="14" spans="1:13" x14ac:dyDescent="0.3">
      <c r="B14" t="s">
        <v>9</v>
      </c>
      <c r="C14">
        <f t="shared" si="0"/>
        <v>7</v>
      </c>
      <c r="D14" s="2">
        <f t="shared" si="1"/>
        <v>329.62755691286992</v>
      </c>
    </row>
    <row r="15" spans="1:13" x14ac:dyDescent="0.3">
      <c r="B15" t="s">
        <v>10</v>
      </c>
      <c r="C15">
        <f t="shared" si="0"/>
        <v>8</v>
      </c>
      <c r="D15" s="2">
        <f t="shared" si="1"/>
        <v>349.22823143300388</v>
      </c>
    </row>
    <row r="16" spans="1:13" x14ac:dyDescent="0.3">
      <c r="B16" t="s">
        <v>14</v>
      </c>
      <c r="C16">
        <f t="shared" si="0"/>
        <v>9</v>
      </c>
      <c r="D16" s="2">
        <f t="shared" si="1"/>
        <v>369.9944227116344</v>
      </c>
    </row>
    <row r="17" spans="1:4" x14ac:dyDescent="0.3">
      <c r="B17" t="s">
        <v>11</v>
      </c>
      <c r="C17">
        <f t="shared" si="0"/>
        <v>10</v>
      </c>
      <c r="D17" s="2">
        <f t="shared" si="1"/>
        <v>391.99543598174927</v>
      </c>
    </row>
    <row r="18" spans="1:4" x14ac:dyDescent="0.3">
      <c r="B18" t="s">
        <v>15</v>
      </c>
      <c r="C18">
        <f t="shared" si="0"/>
        <v>11</v>
      </c>
      <c r="D18" s="2">
        <f t="shared" si="1"/>
        <v>415.30469757994513</v>
      </c>
    </row>
    <row r="19" spans="1:4" x14ac:dyDescent="0.3">
      <c r="A19">
        <f>A7+1</f>
        <v>4</v>
      </c>
      <c r="B19" t="s">
        <v>5</v>
      </c>
      <c r="C19">
        <f t="shared" si="0"/>
        <v>12</v>
      </c>
      <c r="D19" s="2">
        <f>$D$7*2^(C19/12)</f>
        <v>440</v>
      </c>
    </row>
    <row r="20" spans="1:4" x14ac:dyDescent="0.3">
      <c r="B20" t="s">
        <v>12</v>
      </c>
      <c r="C20">
        <f t="shared" si="0"/>
        <v>13</v>
      </c>
      <c r="D20" s="2">
        <f t="shared" si="1"/>
        <v>466.16376151808981</v>
      </c>
    </row>
    <row r="21" spans="1:4" x14ac:dyDescent="0.3">
      <c r="B21" t="s">
        <v>6</v>
      </c>
      <c r="C21">
        <f t="shared" si="0"/>
        <v>14</v>
      </c>
      <c r="D21" s="2">
        <f t="shared" si="1"/>
        <v>493.88330125612413</v>
      </c>
    </row>
    <row r="22" spans="1:4" x14ac:dyDescent="0.3">
      <c r="B22" t="s">
        <v>7</v>
      </c>
      <c r="C22">
        <f t="shared" si="0"/>
        <v>15</v>
      </c>
      <c r="D22" s="2">
        <f t="shared" si="1"/>
        <v>523.25113060119725</v>
      </c>
    </row>
    <row r="23" spans="1:4" x14ac:dyDescent="0.3">
      <c r="B23" t="s">
        <v>13</v>
      </c>
      <c r="C23">
        <f t="shared" si="0"/>
        <v>16</v>
      </c>
      <c r="D23" s="2">
        <f t="shared" si="1"/>
        <v>554.36526195374415</v>
      </c>
    </row>
    <row r="24" spans="1:4" x14ac:dyDescent="0.3">
      <c r="B24" t="s">
        <v>8</v>
      </c>
      <c r="C24">
        <f t="shared" si="0"/>
        <v>17</v>
      </c>
      <c r="D24" s="2">
        <f t="shared" si="1"/>
        <v>587.32953583481515</v>
      </c>
    </row>
    <row r="25" spans="1:4" x14ac:dyDescent="0.3">
      <c r="B25" t="s">
        <v>16</v>
      </c>
      <c r="C25">
        <f t="shared" si="0"/>
        <v>18</v>
      </c>
      <c r="D25" s="2">
        <f t="shared" si="1"/>
        <v>622.25396744416173</v>
      </c>
    </row>
    <row r="26" spans="1:4" x14ac:dyDescent="0.3">
      <c r="B26" t="s">
        <v>9</v>
      </c>
      <c r="C26">
        <f t="shared" si="0"/>
        <v>19</v>
      </c>
      <c r="D26" s="2">
        <f t="shared" si="1"/>
        <v>659.25511382573973</v>
      </c>
    </row>
    <row r="27" spans="1:4" x14ac:dyDescent="0.3">
      <c r="B27" t="s">
        <v>10</v>
      </c>
      <c r="C27">
        <f t="shared" si="0"/>
        <v>20</v>
      </c>
      <c r="D27" s="2">
        <f t="shared" si="1"/>
        <v>698.45646286600777</v>
      </c>
    </row>
    <row r="28" spans="1:4" x14ac:dyDescent="0.3">
      <c r="B28" t="s">
        <v>14</v>
      </c>
      <c r="C28">
        <f t="shared" si="0"/>
        <v>21</v>
      </c>
      <c r="D28" s="2">
        <f t="shared" si="1"/>
        <v>739.9888454232688</v>
      </c>
    </row>
    <row r="29" spans="1:4" x14ac:dyDescent="0.3">
      <c r="B29" t="s">
        <v>11</v>
      </c>
      <c r="C29">
        <f t="shared" si="0"/>
        <v>22</v>
      </c>
      <c r="D29" s="2">
        <f t="shared" si="1"/>
        <v>783.99087196349842</v>
      </c>
    </row>
    <row r="30" spans="1:4" x14ac:dyDescent="0.3">
      <c r="B30" t="s">
        <v>15</v>
      </c>
      <c r="C30">
        <f t="shared" si="0"/>
        <v>23</v>
      </c>
      <c r="D30" s="2">
        <f t="shared" si="1"/>
        <v>830.60939515989025</v>
      </c>
    </row>
    <row r="31" spans="1:4" x14ac:dyDescent="0.3">
      <c r="A31" s="1">
        <f>A19+1</f>
        <v>5</v>
      </c>
      <c r="B31" t="s">
        <v>5</v>
      </c>
      <c r="C31">
        <f t="shared" si="0"/>
        <v>24</v>
      </c>
      <c r="D31" s="2">
        <f t="shared" si="1"/>
        <v>880</v>
      </c>
    </row>
    <row r="32" spans="1:4" x14ac:dyDescent="0.3">
      <c r="B32" t="s">
        <v>12</v>
      </c>
      <c r="C32">
        <f t="shared" si="0"/>
        <v>25</v>
      </c>
      <c r="D32" s="2">
        <f t="shared" si="1"/>
        <v>932.32752303617985</v>
      </c>
    </row>
    <row r="33" spans="2:4" x14ac:dyDescent="0.3">
      <c r="B33" t="s">
        <v>6</v>
      </c>
      <c r="C33">
        <f t="shared" si="0"/>
        <v>26</v>
      </c>
      <c r="D33" s="2">
        <f t="shared" si="1"/>
        <v>987.76660251224803</v>
      </c>
    </row>
    <row r="34" spans="2:4" x14ac:dyDescent="0.3">
      <c r="B34" t="s">
        <v>7</v>
      </c>
      <c r="C34">
        <f t="shared" si="0"/>
        <v>27</v>
      </c>
      <c r="D34" s="2">
        <f t="shared" si="1"/>
        <v>1046.5022612023945</v>
      </c>
    </row>
    <row r="35" spans="2:4" x14ac:dyDescent="0.3">
      <c r="B35" t="s">
        <v>13</v>
      </c>
      <c r="C35">
        <f t="shared" si="0"/>
        <v>28</v>
      </c>
      <c r="D35" s="2">
        <f t="shared" si="1"/>
        <v>1108.7305239074885</v>
      </c>
    </row>
    <row r="36" spans="2:4" x14ac:dyDescent="0.3">
      <c r="B36" t="s">
        <v>8</v>
      </c>
      <c r="C36">
        <f t="shared" si="0"/>
        <v>29</v>
      </c>
      <c r="D36" s="2">
        <f t="shared" si="1"/>
        <v>1174.6590716696301</v>
      </c>
    </row>
    <row r="37" spans="2:4" x14ac:dyDescent="0.3">
      <c r="B37" t="s">
        <v>16</v>
      </c>
      <c r="C37">
        <f t="shared" si="0"/>
        <v>30</v>
      </c>
      <c r="D37" s="2">
        <f t="shared" si="1"/>
        <v>1244.5079348883237</v>
      </c>
    </row>
    <row r="38" spans="2:4" x14ac:dyDescent="0.3">
      <c r="B38" t="s">
        <v>9</v>
      </c>
      <c r="C38">
        <f t="shared" si="0"/>
        <v>31</v>
      </c>
      <c r="D38" s="2">
        <f t="shared" si="1"/>
        <v>1318.5102276514799</v>
      </c>
    </row>
    <row r="39" spans="2:4" x14ac:dyDescent="0.3">
      <c r="B39" t="s">
        <v>10</v>
      </c>
      <c r="C39">
        <f t="shared" si="0"/>
        <v>32</v>
      </c>
      <c r="D39" s="2">
        <f t="shared" si="1"/>
        <v>1396.9129257320155</v>
      </c>
    </row>
    <row r="40" spans="2:4" x14ac:dyDescent="0.3">
      <c r="B40" t="s">
        <v>14</v>
      </c>
      <c r="C40">
        <f t="shared" si="0"/>
        <v>33</v>
      </c>
      <c r="D40" s="2">
        <f t="shared" si="1"/>
        <v>1479.9776908465378</v>
      </c>
    </row>
    <row r="41" spans="2:4" x14ac:dyDescent="0.3">
      <c r="B41" t="s">
        <v>11</v>
      </c>
      <c r="C41">
        <f t="shared" si="0"/>
        <v>34</v>
      </c>
      <c r="D41" s="2">
        <f t="shared" si="1"/>
        <v>1567.9817439269971</v>
      </c>
    </row>
    <row r="42" spans="2:4" x14ac:dyDescent="0.3">
      <c r="B42" t="s">
        <v>15</v>
      </c>
      <c r="C42">
        <f t="shared" si="0"/>
        <v>35</v>
      </c>
      <c r="D42" s="2">
        <f t="shared" si="1"/>
        <v>1661.2187903197801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Bach Vinther</dc:creator>
  <cp:lastModifiedBy>Oskar Bach Vinther</cp:lastModifiedBy>
  <dcterms:created xsi:type="dcterms:W3CDTF">2015-06-05T18:19:34Z</dcterms:created>
  <dcterms:modified xsi:type="dcterms:W3CDTF">2026-01-21T14:36:38Z</dcterms:modified>
</cp:coreProperties>
</file>