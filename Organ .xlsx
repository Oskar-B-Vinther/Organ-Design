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Personal\Organ\Organ-Design\"/>
    </mc:Choice>
  </mc:AlternateContent>
  <xr:revisionPtr revIDLastSave="0" documentId="13_ncr:1_{DE9F7466-E955-4559-9474-B5EF84DCC816}" xr6:coauthVersionLast="47" xr6:coauthVersionMax="47" xr10:uidLastSave="{00000000-0000-0000-0000-000000000000}"/>
  <bookViews>
    <workbookView xWindow="-30828" yWindow="-108" windowWidth="30936" windowHeight="16776" xr2:uid="{00000000-000D-0000-FFFF-FFFF00000000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3" i="1" l="1"/>
  <c r="J43" i="1"/>
  <c r="K43" i="1"/>
  <c r="K42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7" i="1"/>
  <c r="D8" i="1"/>
  <c r="D7" i="1"/>
  <c r="C8" i="1"/>
  <c r="C9" i="1" s="1"/>
  <c r="A31" i="1"/>
  <c r="A19" i="1"/>
  <c r="J6" i="1"/>
  <c r="K6" i="1" s="1"/>
  <c r="L6" i="1" s="1"/>
  <c r="B3" i="1"/>
  <c r="C10" i="1" l="1"/>
  <c r="D9" i="1"/>
  <c r="C11" i="1" l="1"/>
  <c r="D10" i="1"/>
  <c r="C12" i="1" l="1"/>
  <c r="D11" i="1"/>
  <c r="C13" i="1" l="1"/>
  <c r="D12" i="1"/>
  <c r="C14" i="1" l="1"/>
  <c r="D13" i="1"/>
  <c r="C15" i="1" l="1"/>
  <c r="D14" i="1"/>
  <c r="C16" i="1" l="1"/>
  <c r="D15" i="1"/>
  <c r="C17" i="1" l="1"/>
  <c r="D16" i="1"/>
  <c r="C18" i="1" l="1"/>
  <c r="D17" i="1"/>
  <c r="C19" i="1" l="1"/>
  <c r="D18" i="1"/>
  <c r="C20" i="1" l="1"/>
  <c r="D19" i="1"/>
  <c r="C21" i="1" l="1"/>
  <c r="D20" i="1"/>
  <c r="C22" i="1" l="1"/>
  <c r="D21" i="1"/>
  <c r="C23" i="1" l="1"/>
  <c r="D22" i="1"/>
  <c r="C24" i="1" l="1"/>
  <c r="D23" i="1"/>
  <c r="C25" i="1" l="1"/>
  <c r="D24" i="1"/>
  <c r="C26" i="1" l="1"/>
  <c r="D25" i="1"/>
  <c r="C27" i="1" l="1"/>
  <c r="D26" i="1"/>
  <c r="C28" i="1" l="1"/>
  <c r="D27" i="1"/>
  <c r="C29" i="1" l="1"/>
  <c r="D28" i="1"/>
  <c r="C30" i="1" l="1"/>
  <c r="D29" i="1"/>
  <c r="C31" i="1" l="1"/>
  <c r="D30" i="1"/>
  <c r="C32" i="1" l="1"/>
  <c r="D31" i="1"/>
  <c r="C33" i="1" l="1"/>
  <c r="D32" i="1"/>
  <c r="C34" i="1" l="1"/>
  <c r="D33" i="1"/>
  <c r="C35" i="1" l="1"/>
  <c r="D34" i="1"/>
  <c r="C36" i="1" l="1"/>
  <c r="D35" i="1"/>
  <c r="C37" i="1" l="1"/>
  <c r="D36" i="1"/>
  <c r="C38" i="1" l="1"/>
  <c r="D37" i="1"/>
  <c r="C39" i="1" l="1"/>
  <c r="D38" i="1"/>
  <c r="C40" i="1" l="1"/>
  <c r="D39" i="1"/>
  <c r="C41" i="1" l="1"/>
  <c r="D40" i="1"/>
  <c r="C42" i="1" l="1"/>
  <c r="D42" i="1" s="1"/>
  <c r="D41" i="1"/>
</calcChain>
</file>

<file path=xl/sharedStrings.xml><?xml version="1.0" encoding="utf-8"?>
<sst xmlns="http://schemas.openxmlformats.org/spreadsheetml/2006/main" count="46" uniqueCount="22">
  <si>
    <t>frqenzy  [Hz]</t>
  </si>
  <si>
    <t xml:space="preserve">note: </t>
  </si>
  <si>
    <t>Hz</t>
  </si>
  <si>
    <t xml:space="preserve">Base note: </t>
  </si>
  <si>
    <t>Ovetone nr:</t>
  </si>
  <si>
    <t>A</t>
  </si>
  <si>
    <t>B</t>
  </si>
  <si>
    <t>C</t>
  </si>
  <si>
    <t>D</t>
  </si>
  <si>
    <t>E</t>
  </si>
  <si>
    <t>F</t>
  </si>
  <si>
    <t>G</t>
  </si>
  <si>
    <t>A#</t>
  </si>
  <si>
    <t>C#</t>
  </si>
  <si>
    <t>F#</t>
  </si>
  <si>
    <t>G#</t>
  </si>
  <si>
    <t>D#</t>
  </si>
  <si>
    <t xml:space="preserve">Semitones from base </t>
  </si>
  <si>
    <t xml:space="preserve">Speed of sounds: </t>
  </si>
  <si>
    <t>Length (Based on freqentzy)  [m]</t>
  </si>
  <si>
    <t>length of total pipe:</t>
  </si>
  <si>
    <t>same as the colum 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</si>
</sst>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71" formatCode="0.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64" fontId="0" fillId="0" borderId="0" xfId="0" applyNumberFormat="1"/>
    <xf numFmtId="171" fontId="0" fillId="0" borderId="0" xfId="0" applyNumberFormat="1"/>
    <xf numFmtId="2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length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'Ark1'!$C$7:$C$42</c:f>
              <c:numCache>
                <c:formatCode>General</c:formatCode>
                <c:ptCount val="3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</c:numCache>
            </c:numRef>
          </c:cat>
          <c:val>
            <c:numRef>
              <c:f>'Ark1'!$F$7:$F$42</c:f>
              <c:numCache>
                <c:formatCode>0.000</c:formatCode>
                <c:ptCount val="36"/>
                <c:pt idx="0">
                  <c:v>0.37954545454545452</c:v>
                </c:pt>
                <c:pt idx="1">
                  <c:v>0.35824320504055185</c:v>
                </c:pt>
                <c:pt idx="2">
                  <c:v>0.33813655893053784</c:v>
                </c:pt>
                <c:pt idx="3">
                  <c:v>0.31915841215311441</c:v>
                </c:pt>
                <c:pt idx="4">
                  <c:v>0.30124542690760153</c:v>
                </c:pt>
                <c:pt idx="5">
                  <c:v>0.2843378202709157</c:v>
                </c:pt>
                <c:pt idx="6">
                  <c:v>0.26837916467762146</c:v>
                </c:pt>
                <c:pt idx="7">
                  <c:v>0.25331619959817697</c:v>
                </c:pt>
                <c:pt idx="8">
                  <c:v>0.23909865378686798</c:v>
                </c:pt>
                <c:pt idx="9">
                  <c:v>0.2256790775061982</c:v>
                </c:pt>
                <c:pt idx="10">
                  <c:v>0.21301268416780147</c:v>
                </c:pt>
                <c:pt idx="11">
                  <c:v>0.20105720086136628</c:v>
                </c:pt>
                <c:pt idx="12">
                  <c:v>0.18977272727272726</c:v>
                </c:pt>
                <c:pt idx="13">
                  <c:v>0.17912160252027595</c:v>
                </c:pt>
                <c:pt idx="14">
                  <c:v>0.16906827946526892</c:v>
                </c:pt>
                <c:pt idx="15">
                  <c:v>0.15957920607655721</c:v>
                </c:pt>
                <c:pt idx="16">
                  <c:v>0.15062271345380077</c:v>
                </c:pt>
                <c:pt idx="17">
                  <c:v>0.14216891013545785</c:v>
                </c:pt>
                <c:pt idx="18">
                  <c:v>0.13418958233881073</c:v>
                </c:pt>
                <c:pt idx="19">
                  <c:v>0.12665809979908851</c:v>
                </c:pt>
                <c:pt idx="20">
                  <c:v>0.11954932689343399</c:v>
                </c:pt>
                <c:pt idx="21">
                  <c:v>0.1128395387530991</c:v>
                </c:pt>
                <c:pt idx="22">
                  <c:v>0.10650634208390075</c:v>
                </c:pt>
                <c:pt idx="23">
                  <c:v>0.10052860043068314</c:v>
                </c:pt>
                <c:pt idx="24">
                  <c:v>9.488636363636363E-2</c:v>
                </c:pt>
                <c:pt idx="25">
                  <c:v>8.9560801260137962E-2</c:v>
                </c:pt>
                <c:pt idx="26">
                  <c:v>8.4534139732634489E-2</c:v>
                </c:pt>
                <c:pt idx="27">
                  <c:v>7.9789603038278603E-2</c:v>
                </c:pt>
                <c:pt idx="28">
                  <c:v>7.5311356726900369E-2</c:v>
                </c:pt>
                <c:pt idx="29">
                  <c:v>7.1084455067728938E-2</c:v>
                </c:pt>
                <c:pt idx="30">
                  <c:v>6.7094791169405366E-2</c:v>
                </c:pt>
                <c:pt idx="31">
                  <c:v>6.3329049899544229E-2</c:v>
                </c:pt>
                <c:pt idx="32">
                  <c:v>5.9774663446716995E-2</c:v>
                </c:pt>
                <c:pt idx="33">
                  <c:v>5.6419769376549543E-2</c:v>
                </c:pt>
                <c:pt idx="34">
                  <c:v>5.3253171041950369E-2</c:v>
                </c:pt>
                <c:pt idx="35">
                  <c:v>5.0264300215341583E-2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3B-4CBD-9111-030D3105B3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575871"/>
        <c:axId val="1869574431"/>
      </c:barChart>
      <c:catAx>
        <c:axId val="18695758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869574431"/>
        <c:crosses val="autoZero"/>
        <c:auto val="1"/>
        <c:lblAlgn val="ctr"/>
        <c:lblOffset val="100"/>
        <c:noMultiLvlLbl val="0"/>
      </c:catAx>
      <c:valAx>
        <c:axId val="1869574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869575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frequentsy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length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'Ark1'!$C$7:$C$42</c:f>
              <c:numCache>
                <c:formatCode>General</c:formatCode>
                <c:ptCount val="3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</c:numCache>
            </c:numRef>
          </c:cat>
          <c:val>
            <c:numRef>
              <c:f>'Ark1'!$D$7:$D$42</c:f>
              <c:numCache>
                <c:formatCode>0.0</c:formatCode>
                <c:ptCount val="36"/>
                <c:pt idx="0">
                  <c:v>220</c:v>
                </c:pt>
                <c:pt idx="1">
                  <c:v>233.08188075904496</c:v>
                </c:pt>
                <c:pt idx="2">
                  <c:v>246.94165062806206</c:v>
                </c:pt>
                <c:pt idx="3">
                  <c:v>261.62556530059862</c:v>
                </c:pt>
                <c:pt idx="4">
                  <c:v>277.18263097687208</c:v>
                </c:pt>
                <c:pt idx="5">
                  <c:v>293.66476791740757</c:v>
                </c:pt>
                <c:pt idx="6">
                  <c:v>311.12698372208092</c:v>
                </c:pt>
                <c:pt idx="7">
                  <c:v>329.62755691286992</c:v>
                </c:pt>
                <c:pt idx="8">
                  <c:v>349.22823143300388</c:v>
                </c:pt>
                <c:pt idx="9">
                  <c:v>369.9944227116344</c:v>
                </c:pt>
                <c:pt idx="10">
                  <c:v>391.99543598174927</c:v>
                </c:pt>
                <c:pt idx="11">
                  <c:v>415.30469757994513</c:v>
                </c:pt>
                <c:pt idx="12">
                  <c:v>440</c:v>
                </c:pt>
                <c:pt idx="13">
                  <c:v>466.16376151808981</c:v>
                </c:pt>
                <c:pt idx="14">
                  <c:v>493.88330125612413</c:v>
                </c:pt>
                <c:pt idx="15">
                  <c:v>523.25113060119725</c:v>
                </c:pt>
                <c:pt idx="16">
                  <c:v>554.36526195374415</c:v>
                </c:pt>
                <c:pt idx="17">
                  <c:v>587.32953583481515</c:v>
                </c:pt>
                <c:pt idx="18">
                  <c:v>622.25396744416173</c:v>
                </c:pt>
                <c:pt idx="19">
                  <c:v>659.25511382573973</c:v>
                </c:pt>
                <c:pt idx="20">
                  <c:v>698.45646286600777</c:v>
                </c:pt>
                <c:pt idx="21">
                  <c:v>739.9888454232688</c:v>
                </c:pt>
                <c:pt idx="22">
                  <c:v>783.99087196349842</c:v>
                </c:pt>
                <c:pt idx="23">
                  <c:v>830.60939515989025</c:v>
                </c:pt>
                <c:pt idx="24">
                  <c:v>880</c:v>
                </c:pt>
                <c:pt idx="25">
                  <c:v>932.32752303617985</c:v>
                </c:pt>
                <c:pt idx="26">
                  <c:v>987.76660251224803</c:v>
                </c:pt>
                <c:pt idx="27">
                  <c:v>1046.5022612023945</c:v>
                </c:pt>
                <c:pt idx="28">
                  <c:v>1108.7305239074885</c:v>
                </c:pt>
                <c:pt idx="29">
                  <c:v>1174.6590716696301</c:v>
                </c:pt>
                <c:pt idx="30">
                  <c:v>1244.5079348883237</c:v>
                </c:pt>
                <c:pt idx="31">
                  <c:v>1318.5102276514799</c:v>
                </c:pt>
                <c:pt idx="32">
                  <c:v>1396.9129257320155</c:v>
                </c:pt>
                <c:pt idx="33">
                  <c:v>1479.9776908465378</c:v>
                </c:pt>
                <c:pt idx="34">
                  <c:v>1567.9817439269971</c:v>
                </c:pt>
                <c:pt idx="35">
                  <c:v>1661.2187903197801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AB-4AE4-832D-EC91BE3DE8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575871"/>
        <c:axId val="1869574431"/>
      </c:barChart>
      <c:catAx>
        <c:axId val="18695758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869574431"/>
        <c:crosses val="autoZero"/>
        <c:auto val="1"/>
        <c:lblAlgn val="ctr"/>
        <c:lblOffset val="100"/>
        <c:noMultiLvlLbl val="0"/>
      </c:catAx>
      <c:valAx>
        <c:axId val="1869574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869575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435426</xdr:colOff>
      <xdr:row>11</xdr:row>
      <xdr:rowOff>21770</xdr:rowOff>
    </xdr:from>
    <xdr:to>
      <xdr:col>34</xdr:col>
      <xdr:colOff>413655</xdr:colOff>
      <xdr:row>25</xdr:row>
      <xdr:rowOff>174170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C802413-B800-8C32-F29D-16311D6A77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413657</xdr:colOff>
      <xdr:row>26</xdr:row>
      <xdr:rowOff>0</xdr:rowOff>
    </xdr:from>
    <xdr:to>
      <xdr:col>34</xdr:col>
      <xdr:colOff>391886</xdr:colOff>
      <xdr:row>40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483BA4B-0317-47B0-8A9E-3F2B8EE409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L48"/>
  <sheetViews>
    <sheetView tabSelected="1" zoomScale="70" zoomScaleNormal="70" workbookViewId="0">
      <selection activeCell="L47" sqref="L47"/>
    </sheetView>
  </sheetViews>
  <sheetFormatPr defaultRowHeight="14.4" x14ac:dyDescent="0.3"/>
  <cols>
    <col min="1" max="1" width="16.6640625" customWidth="1"/>
    <col min="2" max="2" width="11.44140625" customWidth="1"/>
    <col min="3" max="3" width="20.44140625" customWidth="1"/>
    <col min="4" max="4" width="18.44140625" customWidth="1"/>
    <col min="5" max="5" width="18.6640625" customWidth="1"/>
    <col min="6" max="6" width="28.77734375" customWidth="1"/>
    <col min="9" max="9" width="19.77734375" customWidth="1"/>
    <col min="10" max="10" width="11.44140625" customWidth="1"/>
  </cols>
  <sheetData>
    <row r="3" spans="1:12" x14ac:dyDescent="0.3">
      <c r="A3" t="s">
        <v>3</v>
      </c>
      <c r="B3">
        <f>440/2</f>
        <v>220</v>
      </c>
      <c r="C3" t="s">
        <v>2</v>
      </c>
    </row>
    <row r="4" spans="1:12" x14ac:dyDescent="0.3">
      <c r="A4" t="s">
        <v>18</v>
      </c>
      <c r="B4">
        <v>334</v>
      </c>
    </row>
    <row r="6" spans="1:12" x14ac:dyDescent="0.3">
      <c r="B6" t="s">
        <v>1</v>
      </c>
      <c r="C6" t="s">
        <v>17</v>
      </c>
      <c r="D6" t="s">
        <v>0</v>
      </c>
      <c r="F6" s="3" t="s">
        <v>19</v>
      </c>
      <c r="H6" t="s">
        <v>4</v>
      </c>
      <c r="I6">
        <v>1</v>
      </c>
      <c r="J6">
        <f>I6+1</f>
        <v>2</v>
      </c>
      <c r="K6">
        <f>J6+1</f>
        <v>3</v>
      </c>
      <c r="L6">
        <f>K6+1</f>
        <v>4</v>
      </c>
    </row>
    <row r="7" spans="1:12" x14ac:dyDescent="0.3">
      <c r="A7">
        <v>3</v>
      </c>
      <c r="B7" t="s">
        <v>5</v>
      </c>
      <c r="C7">
        <v>0</v>
      </c>
      <c r="D7" s="2">
        <f>B3</f>
        <v>220</v>
      </c>
      <c r="F7" s="3">
        <f>$B$4/(4*D7)</f>
        <v>0.37954545454545452</v>
      </c>
      <c r="I7" t="s">
        <v>21</v>
      </c>
      <c r="J7">
        <f>(2*J$6-1)*$B$4/(4*$F7)</f>
        <v>660</v>
      </c>
      <c r="K7">
        <f>(2*K$6-1)*$B$4/(4*$F7)</f>
        <v>1100</v>
      </c>
    </row>
    <row r="8" spans="1:12" x14ac:dyDescent="0.3">
      <c r="B8" t="s">
        <v>12</v>
      </c>
      <c r="C8">
        <f>C7+1</f>
        <v>1</v>
      </c>
      <c r="D8" s="2">
        <f>$D$7*2^(C8/12)</f>
        <v>233.08188075904496</v>
      </c>
      <c r="F8" s="3">
        <f t="shared" ref="F8:F42" si="0">$B$4/(4*D8)</f>
        <v>0.35824320504055185</v>
      </c>
      <c r="J8">
        <f t="shared" ref="J8:K42" si="1">(2*J$6-1)*$B$4/(4*$F8)</f>
        <v>699.24564227713483</v>
      </c>
      <c r="K8">
        <f t="shared" si="1"/>
        <v>1165.4094037952248</v>
      </c>
    </row>
    <row r="9" spans="1:12" x14ac:dyDescent="0.3">
      <c r="B9" t="s">
        <v>6</v>
      </c>
      <c r="C9">
        <f t="shared" ref="C9:C42" si="2">C8+1</f>
        <v>2</v>
      </c>
      <c r="D9" s="2">
        <f>$D$7*2^(C9/12)</f>
        <v>246.94165062806206</v>
      </c>
      <c r="F9" s="3">
        <f t="shared" si="0"/>
        <v>0.33813655893053784</v>
      </c>
      <c r="J9">
        <f t="shared" si="1"/>
        <v>740.82495188418625</v>
      </c>
      <c r="K9">
        <f t="shared" si="1"/>
        <v>1234.7082531403105</v>
      </c>
    </row>
    <row r="10" spans="1:12" x14ac:dyDescent="0.3">
      <c r="B10" t="s">
        <v>7</v>
      </c>
      <c r="C10">
        <f t="shared" si="2"/>
        <v>3</v>
      </c>
      <c r="D10" s="2">
        <f t="shared" ref="D10:D42" si="3">$D$7*2^(C10/12)</f>
        <v>261.62556530059862</v>
      </c>
      <c r="F10" s="3">
        <f t="shared" si="0"/>
        <v>0.31915841215311441</v>
      </c>
      <c r="J10">
        <f t="shared" si="1"/>
        <v>784.87669590179587</v>
      </c>
      <c r="K10">
        <f t="shared" si="1"/>
        <v>1308.127826502993</v>
      </c>
    </row>
    <row r="11" spans="1:12" x14ac:dyDescent="0.3">
      <c r="B11" t="s">
        <v>13</v>
      </c>
      <c r="C11">
        <f t="shared" si="2"/>
        <v>4</v>
      </c>
      <c r="D11" s="2">
        <f t="shared" si="3"/>
        <v>277.18263097687208</v>
      </c>
      <c r="F11" s="3">
        <f t="shared" si="0"/>
        <v>0.30124542690760153</v>
      </c>
      <c r="J11">
        <f t="shared" si="1"/>
        <v>831.54789293061617</v>
      </c>
      <c r="K11">
        <f t="shared" si="1"/>
        <v>1385.9131548843602</v>
      </c>
    </row>
    <row r="12" spans="1:12" x14ac:dyDescent="0.3">
      <c r="B12" t="s">
        <v>8</v>
      </c>
      <c r="C12">
        <f t="shared" si="2"/>
        <v>5</v>
      </c>
      <c r="D12" s="2">
        <f t="shared" si="3"/>
        <v>293.66476791740757</v>
      </c>
      <c r="F12" s="3">
        <f t="shared" si="0"/>
        <v>0.2843378202709157</v>
      </c>
      <c r="J12">
        <f t="shared" si="1"/>
        <v>880.99430375222266</v>
      </c>
      <c r="K12">
        <f t="shared" si="1"/>
        <v>1468.3238395870378</v>
      </c>
    </row>
    <row r="13" spans="1:12" x14ac:dyDescent="0.3">
      <c r="B13" t="s">
        <v>16</v>
      </c>
      <c r="C13">
        <f t="shared" si="2"/>
        <v>6</v>
      </c>
      <c r="D13" s="2">
        <f t="shared" si="3"/>
        <v>311.12698372208092</v>
      </c>
      <c r="F13" s="3">
        <f t="shared" si="0"/>
        <v>0.26837916467762146</v>
      </c>
      <c r="J13">
        <f t="shared" si="1"/>
        <v>933.38095116624265</v>
      </c>
      <c r="K13">
        <f t="shared" si="1"/>
        <v>1555.6349186104044</v>
      </c>
    </row>
    <row r="14" spans="1:12" x14ac:dyDescent="0.3">
      <c r="B14" t="s">
        <v>9</v>
      </c>
      <c r="C14">
        <f t="shared" si="2"/>
        <v>7</v>
      </c>
      <c r="D14" s="2">
        <f t="shared" si="3"/>
        <v>329.62755691286992</v>
      </c>
      <c r="F14" s="3">
        <f t="shared" si="0"/>
        <v>0.25331619959817697</v>
      </c>
      <c r="J14">
        <f t="shared" si="1"/>
        <v>988.88267073860982</v>
      </c>
      <c r="K14">
        <f t="shared" si="1"/>
        <v>1648.1377845643497</v>
      </c>
    </row>
    <row r="15" spans="1:12" x14ac:dyDescent="0.3">
      <c r="B15" t="s">
        <v>10</v>
      </c>
      <c r="C15">
        <f t="shared" si="2"/>
        <v>8</v>
      </c>
      <c r="D15" s="2">
        <f t="shared" si="3"/>
        <v>349.22823143300388</v>
      </c>
      <c r="F15" s="3">
        <f t="shared" si="0"/>
        <v>0.23909865378686798</v>
      </c>
      <c r="J15">
        <f t="shared" si="1"/>
        <v>1047.6846942990117</v>
      </c>
      <c r="K15">
        <f t="shared" si="1"/>
        <v>1746.1411571650194</v>
      </c>
    </row>
    <row r="16" spans="1:12" x14ac:dyDescent="0.3">
      <c r="B16" t="s">
        <v>14</v>
      </c>
      <c r="C16">
        <f t="shared" si="2"/>
        <v>9</v>
      </c>
      <c r="D16" s="2">
        <f t="shared" si="3"/>
        <v>369.9944227116344</v>
      </c>
      <c r="F16" s="3">
        <f t="shared" si="0"/>
        <v>0.2256790775061982</v>
      </c>
      <c r="J16">
        <f t="shared" si="1"/>
        <v>1109.9832681349033</v>
      </c>
      <c r="K16">
        <f t="shared" si="1"/>
        <v>1849.9721135581719</v>
      </c>
    </row>
    <row r="17" spans="1:11" x14ac:dyDescent="0.3">
      <c r="B17" t="s">
        <v>11</v>
      </c>
      <c r="C17">
        <f t="shared" si="2"/>
        <v>10</v>
      </c>
      <c r="D17" s="2">
        <f t="shared" si="3"/>
        <v>391.99543598174927</v>
      </c>
      <c r="F17" s="3">
        <f t="shared" si="0"/>
        <v>0.21301268416780147</v>
      </c>
      <c r="J17">
        <f t="shared" si="1"/>
        <v>1175.9863079452477</v>
      </c>
      <c r="K17">
        <f t="shared" si="1"/>
        <v>1959.9771799087464</v>
      </c>
    </row>
    <row r="18" spans="1:11" x14ac:dyDescent="0.3">
      <c r="B18" t="s">
        <v>15</v>
      </c>
      <c r="C18">
        <f t="shared" si="2"/>
        <v>11</v>
      </c>
      <c r="D18" s="2">
        <f t="shared" si="3"/>
        <v>415.30469757994513</v>
      </c>
      <c r="F18" s="3">
        <f t="shared" si="0"/>
        <v>0.20105720086136628</v>
      </c>
      <c r="J18">
        <f t="shared" si="1"/>
        <v>1245.9140927398353</v>
      </c>
      <c r="K18">
        <f t="shared" si="1"/>
        <v>2076.5234878997258</v>
      </c>
    </row>
    <row r="19" spans="1:11" x14ac:dyDescent="0.3">
      <c r="A19">
        <f>A7+1</f>
        <v>4</v>
      </c>
      <c r="B19" t="s">
        <v>5</v>
      </c>
      <c r="C19">
        <f t="shared" si="2"/>
        <v>12</v>
      </c>
      <c r="D19" s="2">
        <f>$D$7*2^(C19/12)</f>
        <v>440</v>
      </c>
      <c r="F19" s="3">
        <f t="shared" si="0"/>
        <v>0.18977272727272726</v>
      </c>
      <c r="J19">
        <f t="shared" si="1"/>
        <v>1320</v>
      </c>
      <c r="K19">
        <f t="shared" si="1"/>
        <v>2200</v>
      </c>
    </row>
    <row r="20" spans="1:11" x14ac:dyDescent="0.3">
      <c r="B20" t="s">
        <v>12</v>
      </c>
      <c r="C20">
        <f t="shared" si="2"/>
        <v>13</v>
      </c>
      <c r="D20" s="2">
        <f t="shared" si="3"/>
        <v>466.16376151808981</v>
      </c>
      <c r="F20" s="3">
        <f t="shared" si="0"/>
        <v>0.17912160252027595</v>
      </c>
      <c r="J20">
        <f t="shared" si="1"/>
        <v>1398.4912845542694</v>
      </c>
      <c r="K20">
        <f t="shared" si="1"/>
        <v>2330.8188075904491</v>
      </c>
    </row>
    <row r="21" spans="1:11" x14ac:dyDescent="0.3">
      <c r="B21" t="s">
        <v>6</v>
      </c>
      <c r="C21">
        <f t="shared" si="2"/>
        <v>14</v>
      </c>
      <c r="D21" s="2">
        <f t="shared" si="3"/>
        <v>493.88330125612413</v>
      </c>
      <c r="F21" s="3">
        <f t="shared" si="0"/>
        <v>0.16906827946526892</v>
      </c>
      <c r="J21">
        <f t="shared" si="1"/>
        <v>1481.6499037683725</v>
      </c>
      <c r="K21">
        <f t="shared" si="1"/>
        <v>2469.416506280621</v>
      </c>
    </row>
    <row r="22" spans="1:11" x14ac:dyDescent="0.3">
      <c r="B22" t="s">
        <v>7</v>
      </c>
      <c r="C22">
        <f t="shared" si="2"/>
        <v>15</v>
      </c>
      <c r="D22" s="2">
        <f t="shared" si="3"/>
        <v>523.25113060119725</v>
      </c>
      <c r="F22" s="3">
        <f t="shared" si="0"/>
        <v>0.15957920607655721</v>
      </c>
      <c r="J22">
        <f t="shared" si="1"/>
        <v>1569.7533918035917</v>
      </c>
      <c r="K22">
        <f t="shared" si="1"/>
        <v>2616.255653005986</v>
      </c>
    </row>
    <row r="23" spans="1:11" x14ac:dyDescent="0.3">
      <c r="B23" t="s">
        <v>13</v>
      </c>
      <c r="C23">
        <f t="shared" si="2"/>
        <v>16</v>
      </c>
      <c r="D23" s="2">
        <f t="shared" si="3"/>
        <v>554.36526195374415</v>
      </c>
      <c r="F23" s="3">
        <f t="shared" si="0"/>
        <v>0.15062271345380077</v>
      </c>
      <c r="J23">
        <f t="shared" si="1"/>
        <v>1663.0957858612323</v>
      </c>
      <c r="K23">
        <f t="shared" si="1"/>
        <v>2771.8263097687204</v>
      </c>
    </row>
    <row r="24" spans="1:11" x14ac:dyDescent="0.3">
      <c r="B24" t="s">
        <v>8</v>
      </c>
      <c r="C24">
        <f t="shared" si="2"/>
        <v>17</v>
      </c>
      <c r="D24" s="2">
        <f t="shared" si="3"/>
        <v>587.32953583481515</v>
      </c>
      <c r="F24" s="3">
        <f t="shared" si="0"/>
        <v>0.14216891013545785</v>
      </c>
      <c r="J24">
        <f t="shared" si="1"/>
        <v>1761.9886075044453</v>
      </c>
      <c r="K24">
        <f t="shared" si="1"/>
        <v>2936.6476791740756</v>
      </c>
    </row>
    <row r="25" spans="1:11" x14ac:dyDescent="0.3">
      <c r="B25" t="s">
        <v>16</v>
      </c>
      <c r="C25">
        <f t="shared" si="2"/>
        <v>18</v>
      </c>
      <c r="D25" s="2">
        <f t="shared" si="3"/>
        <v>622.25396744416173</v>
      </c>
      <c r="F25" s="3">
        <f t="shared" si="0"/>
        <v>0.13418958233881073</v>
      </c>
      <c r="J25">
        <f t="shared" si="1"/>
        <v>1866.7619023324853</v>
      </c>
      <c r="K25">
        <f t="shared" si="1"/>
        <v>3111.2698372208088</v>
      </c>
    </row>
    <row r="26" spans="1:11" x14ac:dyDescent="0.3">
      <c r="B26" t="s">
        <v>9</v>
      </c>
      <c r="C26">
        <f t="shared" si="2"/>
        <v>19</v>
      </c>
      <c r="D26" s="2">
        <f t="shared" si="3"/>
        <v>659.25511382573973</v>
      </c>
      <c r="F26" s="3">
        <f t="shared" si="0"/>
        <v>0.12665809979908851</v>
      </c>
      <c r="J26">
        <f t="shared" si="1"/>
        <v>1977.7653414772192</v>
      </c>
      <c r="K26">
        <f t="shared" si="1"/>
        <v>3296.2755691286984</v>
      </c>
    </row>
    <row r="27" spans="1:11" x14ac:dyDescent="0.3">
      <c r="B27" t="s">
        <v>10</v>
      </c>
      <c r="C27">
        <f t="shared" si="2"/>
        <v>20</v>
      </c>
      <c r="D27" s="2">
        <f t="shared" si="3"/>
        <v>698.45646286600777</v>
      </c>
      <c r="F27" s="3">
        <f t="shared" si="0"/>
        <v>0.11954932689343399</v>
      </c>
      <c r="J27">
        <f t="shared" si="1"/>
        <v>2095.3693885980233</v>
      </c>
      <c r="K27">
        <f t="shared" si="1"/>
        <v>3492.2823143300388</v>
      </c>
    </row>
    <row r="28" spans="1:11" x14ac:dyDescent="0.3">
      <c r="B28" t="s">
        <v>14</v>
      </c>
      <c r="C28">
        <f t="shared" si="2"/>
        <v>21</v>
      </c>
      <c r="D28" s="2">
        <f t="shared" si="3"/>
        <v>739.9888454232688</v>
      </c>
      <c r="F28" s="3">
        <f t="shared" si="0"/>
        <v>0.1128395387530991</v>
      </c>
      <c r="J28">
        <f t="shared" si="1"/>
        <v>2219.9665362698065</v>
      </c>
      <c r="K28">
        <f t="shared" si="1"/>
        <v>3699.9442271163439</v>
      </c>
    </row>
    <row r="29" spans="1:11" x14ac:dyDescent="0.3">
      <c r="B29" t="s">
        <v>11</v>
      </c>
      <c r="C29">
        <f t="shared" si="2"/>
        <v>22</v>
      </c>
      <c r="D29" s="2">
        <f t="shared" si="3"/>
        <v>783.99087196349842</v>
      </c>
      <c r="F29" s="3">
        <f t="shared" si="0"/>
        <v>0.10650634208390075</v>
      </c>
      <c r="J29">
        <f t="shared" si="1"/>
        <v>2351.9726158904955</v>
      </c>
      <c r="K29">
        <f t="shared" si="1"/>
        <v>3919.9543598174923</v>
      </c>
    </row>
    <row r="30" spans="1:11" x14ac:dyDescent="0.3">
      <c r="B30" t="s">
        <v>15</v>
      </c>
      <c r="C30">
        <f t="shared" si="2"/>
        <v>23</v>
      </c>
      <c r="D30" s="2">
        <f t="shared" si="3"/>
        <v>830.60939515989025</v>
      </c>
      <c r="F30" s="3">
        <f t="shared" si="0"/>
        <v>0.10052860043068314</v>
      </c>
      <c r="J30">
        <f t="shared" si="1"/>
        <v>2491.8281854796705</v>
      </c>
      <c r="K30">
        <f t="shared" si="1"/>
        <v>4153.0469757994515</v>
      </c>
    </row>
    <row r="31" spans="1:11" x14ac:dyDescent="0.3">
      <c r="A31" s="1">
        <f>A19+1</f>
        <v>5</v>
      </c>
      <c r="B31" t="s">
        <v>5</v>
      </c>
      <c r="C31">
        <f t="shared" si="2"/>
        <v>24</v>
      </c>
      <c r="D31" s="2">
        <f t="shared" si="3"/>
        <v>880</v>
      </c>
      <c r="F31" s="3">
        <f t="shared" si="0"/>
        <v>9.488636363636363E-2</v>
      </c>
      <c r="J31">
        <f t="shared" si="1"/>
        <v>2640</v>
      </c>
      <c r="K31">
        <f t="shared" si="1"/>
        <v>4400</v>
      </c>
    </row>
    <row r="32" spans="1:11" x14ac:dyDescent="0.3">
      <c r="B32" t="s">
        <v>12</v>
      </c>
      <c r="C32">
        <f t="shared" si="2"/>
        <v>25</v>
      </c>
      <c r="D32" s="2">
        <f t="shared" si="3"/>
        <v>932.32752303617985</v>
      </c>
      <c r="F32" s="3">
        <f t="shared" si="0"/>
        <v>8.9560801260137962E-2</v>
      </c>
      <c r="J32">
        <f t="shared" si="1"/>
        <v>2796.9825691085393</v>
      </c>
      <c r="K32">
        <f t="shared" si="1"/>
        <v>4661.637615180899</v>
      </c>
    </row>
    <row r="33" spans="2:11" x14ac:dyDescent="0.3">
      <c r="B33" t="s">
        <v>6</v>
      </c>
      <c r="C33">
        <f t="shared" si="2"/>
        <v>26</v>
      </c>
      <c r="D33" s="2">
        <f t="shared" si="3"/>
        <v>987.76660251224803</v>
      </c>
      <c r="F33" s="3">
        <f t="shared" si="0"/>
        <v>8.4534139732634489E-2</v>
      </c>
      <c r="J33">
        <f t="shared" si="1"/>
        <v>2963.2998075367441</v>
      </c>
      <c r="K33">
        <f t="shared" si="1"/>
        <v>4938.8330125612401</v>
      </c>
    </row>
    <row r="34" spans="2:11" x14ac:dyDescent="0.3">
      <c r="B34" t="s">
        <v>7</v>
      </c>
      <c r="C34">
        <f t="shared" si="2"/>
        <v>27</v>
      </c>
      <c r="D34" s="2">
        <f t="shared" si="3"/>
        <v>1046.5022612023945</v>
      </c>
      <c r="F34" s="3">
        <f t="shared" si="0"/>
        <v>7.9789603038278603E-2</v>
      </c>
      <c r="J34">
        <f t="shared" si="1"/>
        <v>3139.5067836071835</v>
      </c>
      <c r="K34">
        <f t="shared" si="1"/>
        <v>5232.511306011972</v>
      </c>
    </row>
    <row r="35" spans="2:11" x14ac:dyDescent="0.3">
      <c r="B35" t="s">
        <v>13</v>
      </c>
      <c r="C35">
        <f t="shared" si="2"/>
        <v>28</v>
      </c>
      <c r="D35" s="2">
        <f t="shared" si="3"/>
        <v>1108.7305239074885</v>
      </c>
      <c r="F35" s="3">
        <f t="shared" si="0"/>
        <v>7.5311356726900369E-2</v>
      </c>
      <c r="J35">
        <f t="shared" si="1"/>
        <v>3326.1915717224651</v>
      </c>
      <c r="K35">
        <f t="shared" si="1"/>
        <v>5543.6526195374418</v>
      </c>
    </row>
    <row r="36" spans="2:11" x14ac:dyDescent="0.3">
      <c r="B36" t="s">
        <v>8</v>
      </c>
      <c r="C36">
        <f t="shared" si="2"/>
        <v>29</v>
      </c>
      <c r="D36" s="2">
        <f t="shared" si="3"/>
        <v>1174.6590716696301</v>
      </c>
      <c r="F36" s="3">
        <f t="shared" si="0"/>
        <v>7.1084455067728938E-2</v>
      </c>
      <c r="J36">
        <f t="shared" si="1"/>
        <v>3523.9772150088902</v>
      </c>
      <c r="K36">
        <f t="shared" si="1"/>
        <v>5873.2953583481503</v>
      </c>
    </row>
    <row r="37" spans="2:11" x14ac:dyDescent="0.3">
      <c r="B37" t="s">
        <v>16</v>
      </c>
      <c r="C37">
        <f t="shared" si="2"/>
        <v>30</v>
      </c>
      <c r="D37" s="2">
        <f t="shared" si="3"/>
        <v>1244.5079348883237</v>
      </c>
      <c r="F37" s="3">
        <f t="shared" si="0"/>
        <v>6.7094791169405366E-2</v>
      </c>
      <c r="J37">
        <f t="shared" si="1"/>
        <v>3733.5238046649706</v>
      </c>
      <c r="K37">
        <f t="shared" si="1"/>
        <v>6222.5396744416175</v>
      </c>
    </row>
    <row r="38" spans="2:11" x14ac:dyDescent="0.3">
      <c r="B38" t="s">
        <v>9</v>
      </c>
      <c r="C38">
        <f t="shared" si="2"/>
        <v>31</v>
      </c>
      <c r="D38" s="2">
        <f t="shared" si="3"/>
        <v>1318.5102276514799</v>
      </c>
      <c r="F38" s="3">
        <f t="shared" si="0"/>
        <v>6.3329049899544229E-2</v>
      </c>
      <c r="J38">
        <f t="shared" si="1"/>
        <v>3955.5306829544402</v>
      </c>
      <c r="K38">
        <f t="shared" si="1"/>
        <v>6592.5511382574005</v>
      </c>
    </row>
    <row r="39" spans="2:11" x14ac:dyDescent="0.3">
      <c r="B39" t="s">
        <v>10</v>
      </c>
      <c r="C39">
        <f t="shared" si="2"/>
        <v>32</v>
      </c>
      <c r="D39" s="2">
        <f t="shared" si="3"/>
        <v>1396.9129257320155</v>
      </c>
      <c r="F39" s="3">
        <f t="shared" si="0"/>
        <v>5.9774663446716995E-2</v>
      </c>
      <c r="J39">
        <f t="shared" si="1"/>
        <v>4190.7387771960466</v>
      </c>
      <c r="K39">
        <f t="shared" si="1"/>
        <v>6984.5646286600777</v>
      </c>
    </row>
    <row r="40" spans="2:11" x14ac:dyDescent="0.3">
      <c r="B40" t="s">
        <v>14</v>
      </c>
      <c r="C40">
        <f t="shared" si="2"/>
        <v>33</v>
      </c>
      <c r="D40" s="2">
        <f t="shared" si="3"/>
        <v>1479.9776908465378</v>
      </c>
      <c r="F40" s="3">
        <f t="shared" si="0"/>
        <v>5.6419769376549543E-2</v>
      </c>
      <c r="J40">
        <f t="shared" si="1"/>
        <v>4439.933072539613</v>
      </c>
      <c r="K40">
        <f t="shared" si="1"/>
        <v>7399.8884542326887</v>
      </c>
    </row>
    <row r="41" spans="2:11" x14ac:dyDescent="0.3">
      <c r="B41" t="s">
        <v>11</v>
      </c>
      <c r="C41">
        <f t="shared" si="2"/>
        <v>34</v>
      </c>
      <c r="D41" s="2">
        <f t="shared" si="3"/>
        <v>1567.9817439269971</v>
      </c>
      <c r="F41" s="3">
        <f t="shared" si="0"/>
        <v>5.3253171041950369E-2</v>
      </c>
      <c r="J41">
        <f t="shared" si="1"/>
        <v>4703.945231780991</v>
      </c>
      <c r="K41">
        <f t="shared" si="1"/>
        <v>7839.9087196349856</v>
      </c>
    </row>
    <row r="42" spans="2:11" x14ac:dyDescent="0.3">
      <c r="B42" t="s">
        <v>15</v>
      </c>
      <c r="C42">
        <f t="shared" si="2"/>
        <v>35</v>
      </c>
      <c r="D42" s="2">
        <f t="shared" si="3"/>
        <v>1661.2187903197801</v>
      </c>
      <c r="F42" s="3">
        <f t="shared" si="0"/>
        <v>5.0264300215341583E-2</v>
      </c>
      <c r="J42">
        <f t="shared" si="1"/>
        <v>4983.6563709593402</v>
      </c>
      <c r="K42">
        <f>(2*K$6-1)*$B$4/(4*$F42)</f>
        <v>8306.0939515988994</v>
      </c>
    </row>
    <row r="43" spans="2:11" x14ac:dyDescent="0.3">
      <c r="F43">
        <v>0.6</v>
      </c>
      <c r="I43">
        <f>(2*I$6-1)*$B$4/(4*$F43)</f>
        <v>139.16666666666669</v>
      </c>
      <c r="J43">
        <f>(2*J$6-1)*$B$4/(4*$F43)</f>
        <v>417.5</v>
      </c>
      <c r="K43">
        <f>(2*K$6-1)*$B$4/(4*$F43)</f>
        <v>695.83333333333337</v>
      </c>
    </row>
    <row r="44" spans="2:11" x14ac:dyDescent="0.3">
      <c r="E44" t="s">
        <v>20</v>
      </c>
    </row>
    <row r="47" spans="2:11" x14ac:dyDescent="0.3">
      <c r="K47" s="4"/>
    </row>
    <row r="48" spans="2:11" x14ac:dyDescent="0.3">
      <c r="K48" s="4"/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Oskar Bach Vinther</dc:creator>
  <cp:lastModifiedBy>Oskar Bach Vinther</cp:lastModifiedBy>
  <dcterms:created xsi:type="dcterms:W3CDTF">2015-06-05T18:19:34Z</dcterms:created>
  <dcterms:modified xsi:type="dcterms:W3CDTF">2026-01-22T16:08:33Z</dcterms:modified>
</cp:coreProperties>
</file>